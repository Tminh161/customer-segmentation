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olist_project\"/>
    </mc:Choice>
  </mc:AlternateContent>
  <xr:revisionPtr revIDLastSave="0" documentId="13_ncr:9_{1E0CF6C1-72F3-427C-BD18-83D0764B578E}" xr6:coauthVersionLast="47" xr6:coauthVersionMax="47" xr10:uidLastSave="{00000000-0000-0000-0000-000000000000}"/>
  <bookViews>
    <workbookView xWindow="-120" yWindow="-120" windowWidth="29040" windowHeight="15720" xr2:uid="{D96968B1-45D2-472E-9E77-6EED654E1B1B}"/>
  </bookViews>
  <sheets>
    <sheet name="segment_summary" sheetId="1" r:id="rId1"/>
  </sheets>
  <calcPr calcId="0"/>
</workbook>
</file>

<file path=xl/calcChain.xml><?xml version="1.0" encoding="utf-8"?>
<calcChain xmlns="http://schemas.openxmlformats.org/spreadsheetml/2006/main">
  <c r="M8" i="1" l="1"/>
  <c r="P3" i="1"/>
  <c r="P4" i="1"/>
  <c r="P5" i="1"/>
  <c r="P6" i="1"/>
  <c r="P2" i="1"/>
  <c r="O3" i="1"/>
  <c r="O4" i="1"/>
  <c r="O5" i="1"/>
  <c r="O6" i="1"/>
  <c r="O2" i="1"/>
  <c r="M7" i="1"/>
  <c r="M2" i="1"/>
  <c r="N2" i="1"/>
  <c r="M3" i="1"/>
  <c r="N3" i="1"/>
  <c r="M4" i="1"/>
  <c r="N4" i="1"/>
  <c r="M5" i="1"/>
  <c r="N5" i="1"/>
  <c r="M6" i="1"/>
  <c r="N6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<sst xmlns="http://schemas.openxmlformats.org/spreadsheetml/2006/main" count="22" uniqueCount="22">
  <si>
    <t>segment</t>
  </si>
  <si>
    <t>customer_count</t>
  </si>
  <si>
    <t>avg_spent</t>
  </si>
  <si>
    <t>pct_uses_margin</t>
  </si>
  <si>
    <t>pct_uses_funds</t>
  </si>
  <si>
    <t>avg_spent_margin_users</t>
  </si>
  <si>
    <t>At Risk</t>
  </si>
  <si>
    <t>Champions</t>
  </si>
  <si>
    <t>Dormant / Low Value</t>
  </si>
  <si>
    <t>High-Value One-Time</t>
  </si>
  <si>
    <t>New / Low Value</t>
  </si>
  <si>
    <t>Assumed Conversion Rate</t>
  </si>
  <si>
    <t>Customers Not Using Margin</t>
  </si>
  <si>
    <t>Illustrative New Margin Users</t>
  </si>
  <si>
    <t>Illustrative Incremental Value</t>
  </si>
  <si>
    <t>Customers Using Margin</t>
  </si>
  <si>
    <t>Observed - Uses Margin</t>
  </si>
  <si>
    <t>Observed - Does Not Use Margin</t>
  </si>
  <si>
    <t>Expected - Uses Margin</t>
  </si>
  <si>
    <t>Expected - Does Not Use Margin</t>
  </si>
  <si>
    <t>overall margin-adoption rate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</si>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</sst>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F2C3-8B87-443B-B594-E2F5AC27AC32}">
  <dimension ref="A1:P8"/>
  <sheetViews>
    <sheetView tabSelected="1" topLeftCell="G1" workbookViewId="0">
      <selection activeCell="L9" sqref="L9"/>
    </sheetView>
  </sheetViews>
  <sheetFormatPr defaultRowHeight="15" x14ac:dyDescent="0.25"/>
  <cols>
    <col min="1" max="1" width="20" bestFit="1" customWidth="1"/>
    <col min="2" max="2" width="15.28515625" bestFit="1" customWidth="1"/>
    <col min="3" max="3" width="9.7109375" bestFit="1" customWidth="1"/>
    <col min="4" max="4" width="16" bestFit="1" customWidth="1"/>
    <col min="5" max="5" width="14.7109375" bestFit="1" customWidth="1"/>
    <col min="6" max="6" width="23" bestFit="1" customWidth="1"/>
    <col min="7" max="7" width="24.140625" bestFit="1" customWidth="1"/>
    <col min="8" max="8" width="26.5703125" bestFit="1" customWidth="1"/>
    <col min="9" max="9" width="27.140625" bestFit="1" customWidth="1"/>
    <col min="10" max="10" width="27.28515625" bestFit="1" customWidth="1"/>
    <col min="11" max="11" width="22.85546875" bestFit="1" customWidth="1"/>
    <col min="12" max="12" width="18.5703125" customWidth="1"/>
    <col min="13" max="13" width="22.140625" bestFit="1" customWidth="1"/>
    <col min="14" max="14" width="29.85546875" bestFit="1" customWidth="1"/>
    <col min="15" max="15" width="21.5703125" bestFit="1" customWidth="1"/>
    <col min="16" max="16" width="29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t="s">
        <v>6</v>
      </c>
      <c r="B2">
        <v>23454</v>
      </c>
      <c r="C2">
        <v>237.55</v>
      </c>
      <c r="D2">
        <v>32.6</v>
      </c>
      <c r="E2">
        <v>19.5</v>
      </c>
      <c r="F2">
        <v>263.35000000000002</v>
      </c>
      <c r="G2" s="1">
        <v>0.2</v>
      </c>
      <c r="H2">
        <f xml:space="preserve"> B2*(1-D2/100)</f>
        <v>15807.995999999999</v>
      </c>
      <c r="I2">
        <f>H2*G2</f>
        <v>3161.5992000000001</v>
      </c>
      <c r="J2">
        <f>I2*F2</f>
        <v>832607.14932000008</v>
      </c>
      <c r="K2">
        <f>B2-H2</f>
        <v>7646.0040000000008</v>
      </c>
      <c r="M2">
        <f>K2</f>
        <v>7646.0040000000008</v>
      </c>
      <c r="N2">
        <f>H2</f>
        <v>15807.995999999999</v>
      </c>
      <c r="O2">
        <f>B2*$M$7</f>
        <v>4575.407396607814</v>
      </c>
      <c r="P2">
        <f>B2-O2</f>
        <v>18878.592603392186</v>
      </c>
    </row>
    <row r="3" spans="1:16" x14ac:dyDescent="0.25">
      <c r="A3" t="s">
        <v>7</v>
      </c>
      <c r="B3">
        <v>510</v>
      </c>
      <c r="C3">
        <v>380.83</v>
      </c>
      <c r="D3">
        <v>38.200000000000003</v>
      </c>
      <c r="E3">
        <v>21</v>
      </c>
      <c r="F3">
        <v>369.67</v>
      </c>
      <c r="G3" s="1">
        <v>0.2</v>
      </c>
      <c r="H3">
        <f t="shared" ref="H3:H6" si="0" xml:space="preserve"> B3*(1-D3/100)</f>
        <v>315.18</v>
      </c>
      <c r="I3">
        <f t="shared" ref="I3:I6" si="1">H3*G3</f>
        <v>63.036000000000001</v>
      </c>
      <c r="J3">
        <f t="shared" ref="J3:J6" si="2">I3*F3</f>
        <v>23302.518120000001</v>
      </c>
      <c r="K3">
        <f t="shared" ref="K3:K6" si="3">B3-H3</f>
        <v>194.82</v>
      </c>
      <c r="M3">
        <f t="shared" ref="M3:M6" si="4">K3</f>
        <v>194.82</v>
      </c>
      <c r="N3">
        <f t="shared" ref="N3:N6" si="5">H3</f>
        <v>315.18</v>
      </c>
      <c r="O3">
        <f t="shared" ref="O3:O6" si="6">B3*$M$7</f>
        <v>99.490823410505044</v>
      </c>
      <c r="P3">
        <f t="shared" ref="P3:P6" si="7">B3-O3</f>
        <v>410.50917658949493</v>
      </c>
    </row>
    <row r="4" spans="1:16" x14ac:dyDescent="0.25">
      <c r="A4" t="s">
        <v>8</v>
      </c>
      <c r="B4">
        <v>53828</v>
      </c>
      <c r="C4">
        <v>96.47</v>
      </c>
      <c r="D4">
        <v>14.4</v>
      </c>
      <c r="E4">
        <v>6.8</v>
      </c>
      <c r="F4">
        <v>174.17</v>
      </c>
      <c r="G4" s="1">
        <v>0.2</v>
      </c>
      <c r="H4">
        <f t="shared" si="0"/>
        <v>46076.767999999996</v>
      </c>
      <c r="I4">
        <f t="shared" si="1"/>
        <v>9215.3536000000004</v>
      </c>
      <c r="J4">
        <f t="shared" si="2"/>
        <v>1605038.1365119999</v>
      </c>
      <c r="K4">
        <f t="shared" si="3"/>
        <v>7751.2320000000036</v>
      </c>
      <c r="M4">
        <f t="shared" si="4"/>
        <v>7751.2320000000036</v>
      </c>
      <c r="N4">
        <f t="shared" si="5"/>
        <v>46076.767999999996</v>
      </c>
      <c r="O4">
        <f t="shared" si="6"/>
        <v>10500.768710864049</v>
      </c>
      <c r="P4">
        <f t="shared" si="7"/>
        <v>43327.231289135947</v>
      </c>
    </row>
    <row r="5" spans="1:16" x14ac:dyDescent="0.25">
      <c r="A5" t="s">
        <v>9</v>
      </c>
      <c r="B5">
        <v>5446</v>
      </c>
      <c r="C5">
        <v>363.44</v>
      </c>
      <c r="D5">
        <v>39.700000000000003</v>
      </c>
      <c r="E5">
        <v>19.7</v>
      </c>
      <c r="F5">
        <v>357.59</v>
      </c>
      <c r="G5" s="1">
        <v>0.2</v>
      </c>
      <c r="H5">
        <f t="shared" si="0"/>
        <v>3283.9380000000001</v>
      </c>
      <c r="I5">
        <f t="shared" si="1"/>
        <v>656.78760000000011</v>
      </c>
      <c r="J5">
        <f t="shared" si="2"/>
        <v>234860.67788400003</v>
      </c>
      <c r="K5">
        <f t="shared" si="3"/>
        <v>2162.0619999999999</v>
      </c>
      <c r="M5">
        <f t="shared" si="4"/>
        <v>2162.0619999999999</v>
      </c>
      <c r="N5">
        <f t="shared" si="5"/>
        <v>3283.9380000000001</v>
      </c>
      <c r="O5">
        <f t="shared" si="6"/>
        <v>1062.4059299874714</v>
      </c>
      <c r="P5">
        <f t="shared" si="7"/>
        <v>4383.5940700125284</v>
      </c>
    </row>
    <row r="6" spans="1:16" x14ac:dyDescent="0.25">
      <c r="A6" t="s">
        <v>10</v>
      </c>
      <c r="B6">
        <v>11745</v>
      </c>
      <c r="C6">
        <v>47.4</v>
      </c>
      <c r="D6">
        <v>6.6</v>
      </c>
      <c r="E6">
        <v>0</v>
      </c>
      <c r="F6">
        <v>58.35</v>
      </c>
      <c r="G6" s="1">
        <v>0.2</v>
      </c>
      <c r="H6">
        <f t="shared" si="0"/>
        <v>10969.83</v>
      </c>
      <c r="I6">
        <f t="shared" si="1"/>
        <v>2193.9659999999999</v>
      </c>
      <c r="J6">
        <f t="shared" si="2"/>
        <v>128017.9161</v>
      </c>
      <c r="K6">
        <f t="shared" si="3"/>
        <v>775.17000000000007</v>
      </c>
      <c r="M6">
        <f t="shared" si="4"/>
        <v>775.17000000000007</v>
      </c>
      <c r="N6">
        <f t="shared" si="5"/>
        <v>10969.83</v>
      </c>
      <c r="O6">
        <f t="shared" si="6"/>
        <v>2291.21513913016</v>
      </c>
      <c r="P6">
        <f t="shared" si="7"/>
        <v>9453.7848608698405</v>
      </c>
    </row>
    <row r="7" spans="1:16" ht="30" x14ac:dyDescent="0.25">
      <c r="L7" s="2" t="s">
        <v>20</v>
      </c>
      <c r="M7">
        <f>SUM(M2:M6)/SUM(B2:B6)</f>
        <v>0.19508004590295105</v>
      </c>
    </row>
    <row r="8" spans="1:16" x14ac:dyDescent="0.25">
      <c r="L8" t="s">
        <v>21</v>
      </c>
      <c r="M8">
        <f>_xlfn.CHISQ.TEST(M2:N6,O2:P6)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segment_summary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Ba Tuong Minh</cp:lastModifiedBy>
  <dcterms:created xsi:type="dcterms:W3CDTF">2026-07-10T08:23:36Z</dcterms:created>
  <dcterms:modified xsi:type="dcterms:W3CDTF">2026-07-10T08:59:00Z</dcterms:modified>
</cp:coreProperties>
</file>